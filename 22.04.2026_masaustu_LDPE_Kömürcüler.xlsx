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8f45184d7e5c384/Desktop/Enba Similasyon/"/>
    </mc:Choice>
  </mc:AlternateContent>
  <xr:revisionPtr revIDLastSave="1" documentId="8_{8637C44A-C109-4C22-ABBE-DDEB29A6CB40}" xr6:coauthVersionLast="47" xr6:coauthVersionMax="47" xr10:uidLastSave="{6DB67B33-9F59-4A9B-A220-4EDF54377E20}"/>
  <bookViews>
    <workbookView xWindow="768" yWindow="768" windowWidth="17280" windowHeight="8880" activeTab="2" xr2:uid="{00000000-000D-0000-FFFF-FFFF00000000}"/>
  </bookViews>
  <sheets>
    <sheet name="Değerler" sheetId="2" r:id="rId1"/>
    <sheet name="Sheet1" sheetId="1" r:id="rId2"/>
    <sheet name="p&amp;l" sheetId="3" r:id="rId3"/>
    <sheet name="Sayfa1" sheetId="6" r:id="rId4"/>
    <sheet name="Sayfa3" sheetId="4" r:id="rId5"/>
    <sheet name="Sayfa4" sheetId="5" r:id="rId6"/>
  </sheets>
  <definedNames>
    <definedName name="A_Kalite_Satış_Fiyatı">Değerler!$B$7</definedName>
    <definedName name="A_kalite_Satış_Miktarı">Değerler!$E$4</definedName>
    <definedName name="Alış_Fiyatı">Değerler!$B$4</definedName>
    <definedName name="Alt_kalite_Malzeme">Değerler!$E$3</definedName>
    <definedName name="Alt_kalite_Malzeme_Oranı">Değerler!$B$6</definedName>
    <definedName name="Aylık_Alış_Miktarı">Değerler!$B$3</definedName>
    <definedName name="B_kalite_Malzeme">Değerler!$E$3</definedName>
    <definedName name="B_Kalite_Satış_Fiyatı">Değerler!$B$8</definedName>
    <definedName name="Üretim_Kaybı">Değerler!$E$2</definedName>
    <definedName name="Üretim_Kaybı_Oranı">Değerler!$B$5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37" i="1"/>
  <c r="C22" i="1"/>
  <c r="C17" i="1"/>
  <c r="C13" i="1"/>
  <c r="C11" i="1"/>
  <c r="C8" i="1"/>
  <c r="C5" i="1"/>
  <c r="F15" i="3"/>
  <c r="M29" i="4"/>
  <c r="C31" i="4"/>
  <c r="H34" i="4"/>
  <c r="M32" i="4"/>
  <c r="M34" i="4" s="1"/>
  <c r="N31" i="4"/>
  <c r="K32" i="4"/>
  <c r="L32" i="4"/>
  <c r="L35" i="4" s="1"/>
  <c r="G35" i="4"/>
  <c r="G37" i="4" s="1"/>
  <c r="C23" i="4"/>
  <c r="M30" i="4"/>
  <c r="N30" i="4" s="1"/>
  <c r="N29" i="4"/>
  <c r="G10" i="4"/>
  <c r="O20" i="4"/>
  <c r="M14" i="4"/>
  <c r="J20" i="4"/>
  <c r="R13" i="4" s="1"/>
  <c r="S13" i="4" s="1"/>
  <c r="P23" i="4"/>
  <c r="K19" i="2"/>
  <c r="C19" i="4"/>
  <c r="C20" i="4"/>
  <c r="C21" i="4"/>
  <c r="C18" i="4"/>
  <c r="B11" i="4"/>
  <c r="C11" i="4" s="1"/>
  <c r="C13" i="4" s="1"/>
  <c r="D13" i="4" s="1"/>
  <c r="G13" i="4" s="1"/>
  <c r="B3" i="4"/>
  <c r="C3" i="4" s="1"/>
  <c r="B4" i="4"/>
  <c r="C4" i="4" s="1"/>
  <c r="B5" i="4"/>
  <c r="C5" i="4" s="1"/>
  <c r="B2" i="4"/>
  <c r="C2" i="4" s="1"/>
  <c r="A6" i="4"/>
  <c r="P20" i="2"/>
  <c r="P14" i="2"/>
  <c r="N14" i="2"/>
  <c r="S33" i="1"/>
  <c r="Y27" i="1"/>
  <c r="P28" i="1"/>
  <c r="O29" i="1"/>
  <c r="H16" i="2"/>
  <c r="L9" i="2"/>
  <c r="L3" i="2"/>
  <c r="E3" i="2"/>
  <c r="D3" i="3" s="1"/>
  <c r="E2" i="2"/>
  <c r="D41" i="3"/>
  <c r="D20" i="3"/>
  <c r="D26" i="3" s="1"/>
  <c r="D19" i="3"/>
  <c r="D11" i="3"/>
  <c r="D12" i="3" s="1"/>
  <c r="C7" i="1"/>
  <c r="C6" i="1"/>
  <c r="C22" i="4" l="1"/>
  <c r="C24" i="4" s="1"/>
  <c r="K2" i="4"/>
  <c r="C6" i="4"/>
  <c r="E4" i="2"/>
  <c r="D2" i="3" s="1"/>
  <c r="D1" i="3" s="1"/>
  <c r="D6" i="3" s="1"/>
  <c r="D9" i="3" s="1"/>
  <c r="D14" i="3" s="1"/>
  <c r="D42" i="3"/>
  <c r="I11" i="4" l="1"/>
  <c r="C14" i="4"/>
  <c r="C15" i="4" s="1"/>
  <c r="D15" i="4" s="1"/>
  <c r="D43" i="3"/>
  <c r="N3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Fujitsu</author>
  </authors>
  <commentList>
    <comment ref="G22" authorId="0" shapeId="0" xr:uid="{85A48821-34EA-4EF7-A826-7F0BD1602B0A}">
      <text>
        <r>
          <rPr>
            <b/>
            <sz val="9"/>
            <color indexed="81"/>
            <rFont val="Tahoma"/>
            <family val="2"/>
            <charset val="162"/>
          </rPr>
          <t>Fujitsu:</t>
        </r>
        <r>
          <rPr>
            <sz val="9"/>
            <color indexed="81"/>
            <rFont val="Tahoma"/>
            <family val="2"/>
            <charset val="162"/>
          </rPr>
          <t xml:space="preserve">
3 bin daha çağlarda kaldı
</t>
        </r>
      </text>
    </comment>
    <comment ref="G26" authorId="0" shapeId="0" xr:uid="{DE47E576-26B9-4309-9629-78C6417089D4}">
      <text>
        <r>
          <rPr>
            <b/>
            <sz val="9"/>
            <color indexed="81"/>
            <rFont val="Tahoma"/>
            <family val="2"/>
            <charset val="162"/>
          </rPr>
          <t>Fujitsu:</t>
        </r>
        <r>
          <rPr>
            <sz val="9"/>
            <color indexed="81"/>
            <rFont val="Tahoma"/>
            <family val="2"/>
            <charset val="162"/>
          </rPr>
          <t xml:space="preserve">
10 bin lira fark var çağların hesapta 563,550 kalmalı</t>
        </r>
      </text>
    </comment>
  </commentList>
</comments>
</file>

<file path=xl/sharedStrings.xml><?xml version="1.0" encoding="utf-8"?>
<sst xmlns="http://schemas.openxmlformats.org/spreadsheetml/2006/main" count="215" uniqueCount="130">
  <si>
    <t>Toplam</t>
  </si>
  <si>
    <t>M109</t>
  </si>
  <si>
    <t>Mal Satış (Toplam)</t>
  </si>
  <si>
    <t>M650</t>
  </si>
  <si>
    <t>Banka giderleri</t>
  </si>
  <si>
    <t>M149</t>
  </si>
  <si>
    <t>Al sat Toplam</t>
  </si>
  <si>
    <t>M159</t>
  </si>
  <si>
    <t>Diğer Satışlar</t>
  </si>
  <si>
    <t>M179</t>
  </si>
  <si>
    <t>Toplam Satış</t>
  </si>
  <si>
    <t>M249</t>
  </si>
  <si>
    <t>SATIŞ Harcamaları</t>
  </si>
  <si>
    <t>M209</t>
  </si>
  <si>
    <t>Nakliye</t>
  </si>
  <si>
    <t>M299</t>
  </si>
  <si>
    <t>Hasılat</t>
  </si>
  <si>
    <t>M301</t>
  </si>
  <si>
    <t>Alım Nakliye</t>
  </si>
  <si>
    <t>M305</t>
  </si>
  <si>
    <t>Mal alım maliyeti</t>
  </si>
  <si>
    <t>M339</t>
  </si>
  <si>
    <t>Mal Maliyetleri</t>
  </si>
  <si>
    <t>M349</t>
  </si>
  <si>
    <t>Ticaret Mal maliyeti</t>
  </si>
  <si>
    <t>M399</t>
  </si>
  <si>
    <t>KATKI</t>
  </si>
  <si>
    <t>M405</t>
  </si>
  <si>
    <t>Elektrik</t>
  </si>
  <si>
    <t>M410</t>
  </si>
  <si>
    <t>Yakıt</t>
  </si>
  <si>
    <t>M415</t>
  </si>
  <si>
    <t>Su</t>
  </si>
  <si>
    <t>M419</t>
  </si>
  <si>
    <t>Toplam enerji maliyeti</t>
  </si>
  <si>
    <t>M450</t>
  </si>
  <si>
    <t>Maaşlar</t>
  </si>
  <si>
    <t>M455</t>
  </si>
  <si>
    <t>sigortalar</t>
  </si>
  <si>
    <t>M475</t>
  </si>
  <si>
    <t>Yol</t>
  </si>
  <si>
    <t>M480</t>
  </si>
  <si>
    <t>Yemek</t>
  </si>
  <si>
    <t>M489</t>
  </si>
  <si>
    <t>Personel maliyetleri</t>
  </si>
  <si>
    <t>M509</t>
  </si>
  <si>
    <t>Bakım Onarım</t>
  </si>
  <si>
    <t>M310</t>
  </si>
  <si>
    <t>Kimyasallar</t>
  </si>
  <si>
    <t>M315</t>
  </si>
  <si>
    <t>Tel ve diğer Malzeme ÇUVAL</t>
  </si>
  <si>
    <t>M609</t>
  </si>
  <si>
    <t>DIŞ Hizmetler</t>
  </si>
  <si>
    <t>M610</t>
  </si>
  <si>
    <t>Kiralama ücretleri</t>
  </si>
  <si>
    <t>M615</t>
  </si>
  <si>
    <t>Seyahat Giderleri</t>
  </si>
  <si>
    <t>M620</t>
  </si>
  <si>
    <t>İletişim ücretleri</t>
  </si>
  <si>
    <t>M625</t>
  </si>
  <si>
    <t>Yasal Ücretler</t>
  </si>
  <si>
    <t>M630</t>
  </si>
  <si>
    <t>Reklma</t>
  </si>
  <si>
    <t>M635</t>
  </si>
  <si>
    <t>M640</t>
  </si>
  <si>
    <t>Bilişim Harcamaları</t>
  </si>
  <si>
    <t>M660</t>
  </si>
  <si>
    <t>Beklenmedik Giderler</t>
  </si>
  <si>
    <t>M665</t>
  </si>
  <si>
    <t>Harçlar ve Vergiler</t>
  </si>
  <si>
    <t>M689</t>
  </si>
  <si>
    <t>Tolam Diğer Maliyetler</t>
  </si>
  <si>
    <t>Toplam Maliyet</t>
  </si>
  <si>
    <t>M769</t>
  </si>
  <si>
    <t>EBITDA</t>
  </si>
  <si>
    <t>Euro</t>
  </si>
  <si>
    <t>₺</t>
  </si>
  <si>
    <t>Ton/ay</t>
  </si>
  <si>
    <t>Asgari Ücretin İşverene Maliyeti</t>
  </si>
  <si>
    <t>Enerji Birim Fiyatı</t>
  </si>
  <si>
    <t>Günlük Yemek</t>
  </si>
  <si>
    <t>Günlük  Yol</t>
  </si>
  <si>
    <t>Aylık Alış Miktarı</t>
  </si>
  <si>
    <t>Üretim Kaybı</t>
  </si>
  <si>
    <t>Üretim Kaybı Oranı</t>
  </si>
  <si>
    <t>Alt kalite Malzeme Oranı</t>
  </si>
  <si>
    <t>A kalite Satış Miktarı</t>
  </si>
  <si>
    <t>B Kalite Satış</t>
  </si>
  <si>
    <t>₺/ton</t>
  </si>
  <si>
    <t>Birim</t>
  </si>
  <si>
    <t>Aylık Çalışma Günü</t>
  </si>
  <si>
    <t>gün</t>
  </si>
  <si>
    <t>Günlük Çalışma Saati</t>
  </si>
  <si>
    <t>saat</t>
  </si>
  <si>
    <t>Granül Isınma Süresi</t>
  </si>
  <si>
    <t>A Kalite Satış Fiyatı</t>
  </si>
  <si>
    <t>B Kalite Satış Fiyatı</t>
  </si>
  <si>
    <t>B kalite Malzeme</t>
  </si>
  <si>
    <t>A Kalite Satış</t>
  </si>
  <si>
    <t>Alış Fiyatı</t>
  </si>
  <si>
    <t>Forklift Yakıt</t>
  </si>
  <si>
    <t>Personel Seçme hızı</t>
  </si>
  <si>
    <t>kw/sa/₺</t>
  </si>
  <si>
    <t>granül ustası</t>
  </si>
  <si>
    <t>ayıklamacı</t>
  </si>
  <si>
    <t>Aylık Seçme Kapasitesi</t>
  </si>
  <si>
    <t>Ayıklama Personel Sayısı</t>
  </si>
  <si>
    <t>Vardiya Sayısı</t>
  </si>
  <si>
    <t>kg/saat/kişi</t>
  </si>
  <si>
    <t>Günlük Seçme Kapasitesi</t>
  </si>
  <si>
    <t>Kişi</t>
  </si>
  <si>
    <t>55kwa</t>
  </si>
  <si>
    <t>3kwa</t>
  </si>
  <si>
    <t>yan bes</t>
  </si>
  <si>
    <t>akıtma</t>
  </si>
  <si>
    <t>ön kesici</t>
  </si>
  <si>
    <t>ana motor</t>
  </si>
  <si>
    <t>yan besleme</t>
  </si>
  <si>
    <t>Recunoya Kesilenler</t>
  </si>
  <si>
    <t>Recunodan Tahsil edilen</t>
  </si>
  <si>
    <t>Gelen Çekler</t>
  </si>
  <si>
    <t>1. çek kirma</t>
  </si>
  <si>
    <t>2. çek kırma</t>
  </si>
  <si>
    <t>3. Çek kırma</t>
  </si>
  <si>
    <t>çek tutarı</t>
  </si>
  <si>
    <t>Ele geçen</t>
  </si>
  <si>
    <t>masraf</t>
  </si>
  <si>
    <t>çağların malzemesi</t>
  </si>
  <si>
    <t>Enba Hesabına Gelen</t>
  </si>
  <si>
    <t>adana sıkma?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</si>
</sst>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₺-41F]* #,##0.00_-;\-[$₺-41F]* #,##0.00_-;_-[$₺-41F]* &quot;-&quot;??_-;_-@_-"/>
    <numFmt numFmtId="165" formatCode="_(* #,##0_);_(* \(#,##0\);_(* &quot;-&quot;??_);_(@_)"/>
    <numFmt numFmtId="166" formatCode="dd\ mmmm\ yyyy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F2F2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164" fontId="4" fillId="0" borderId="1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3" fillId="0" borderId="2" xfId="0" applyFont="1" applyBorder="1"/>
    <xf numFmtId="164" fontId="4" fillId="0" borderId="2" xfId="1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3" fillId="4" borderId="1" xfId="0" applyFont="1" applyFill="1" applyBorder="1" applyAlignment="1">
      <alignment horizontal="left"/>
    </xf>
    <xf numFmtId="164" fontId="3" fillId="4" borderId="1" xfId="1" applyNumberFormat="1" applyFont="1" applyFill="1" applyBorder="1" applyAlignment="1">
      <alignment horizontal="right"/>
    </xf>
    <xf numFmtId="0" fontId="0" fillId="5" borderId="3" xfId="0" applyFill="1" applyBorder="1"/>
    <xf numFmtId="9" fontId="0" fillId="5" borderId="3" xfId="3" applyFont="1" applyFill="1" applyBorder="1"/>
    <xf numFmtId="0" fontId="0" fillId="6" borderId="3" xfId="0" applyFill="1" applyBorder="1"/>
    <xf numFmtId="165" fontId="3" fillId="0" borderId="1" xfId="1" applyNumberFormat="1" applyFont="1" applyBorder="1" applyAlignment="1">
      <alignment horizontal="right"/>
    </xf>
    <xf numFmtId="165" fontId="3" fillId="2" borderId="1" xfId="1" applyNumberFormat="1" applyFont="1" applyFill="1" applyBorder="1" applyAlignment="1">
      <alignment horizontal="right"/>
    </xf>
    <xf numFmtId="165" fontId="4" fillId="0" borderId="2" xfId="1" applyNumberFormat="1" applyFont="1" applyBorder="1" applyAlignment="1">
      <alignment horizontal="right"/>
    </xf>
    <xf numFmtId="165" fontId="3" fillId="3" borderId="1" xfId="1" applyNumberFormat="1" applyFont="1" applyFill="1" applyBorder="1" applyAlignment="1">
      <alignment horizontal="right"/>
    </xf>
    <xf numFmtId="165" fontId="3" fillId="0" borderId="0" xfId="1" applyNumberFormat="1" applyFont="1" applyAlignment="1">
      <alignment horizontal="right"/>
    </xf>
    <xf numFmtId="165" fontId="3" fillId="4" borderId="1" xfId="1" applyNumberFormat="1" applyFont="1" applyFill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3" fillId="0" borderId="1" xfId="1" applyNumberFormat="1" applyFont="1" applyBorder="1" applyAlignment="1">
      <alignment horizontal="left"/>
    </xf>
    <xf numFmtId="165" fontId="3" fillId="2" borderId="1" xfId="1" applyNumberFormat="1" applyFont="1" applyFill="1" applyBorder="1" applyAlignment="1">
      <alignment horizontal="left"/>
    </xf>
    <xf numFmtId="165" fontId="4" fillId="0" borderId="2" xfId="1" applyNumberFormat="1" applyFont="1" applyBorder="1" applyAlignment="1">
      <alignment horizontal="left"/>
    </xf>
    <xf numFmtId="165" fontId="3" fillId="3" borderId="1" xfId="1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3" fillId="0" borderId="0" xfId="1" applyNumberFormat="1" applyFont="1" applyAlignment="1">
      <alignment horizontal="left"/>
    </xf>
    <xf numFmtId="165" fontId="3" fillId="4" borderId="1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65" fontId="0" fillId="5" borderId="3" xfId="1" applyNumberFormat="1" applyFont="1" applyFill="1" applyBorder="1"/>
    <xf numFmtId="44" fontId="0" fillId="0" borderId="0" xfId="2" applyFont="1"/>
    <xf numFmtId="164" fontId="0" fillId="0" borderId="0" xfId="0" applyNumberForma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3" fontId="0" fillId="0" borderId="8" xfId="1" applyFont="1" applyBorder="1"/>
    <xf numFmtId="0" fontId="0" fillId="0" borderId="9" xfId="0" applyBorder="1"/>
    <xf numFmtId="0" fontId="0" fillId="0" borderId="10" xfId="0" applyBorder="1"/>
    <xf numFmtId="43" fontId="0" fillId="0" borderId="11" xfId="0" applyNumberFormat="1" applyBorder="1"/>
    <xf numFmtId="166" fontId="0" fillId="0" borderId="0" xfId="0" applyNumberFormat="1"/>
    <xf numFmtId="0" fontId="0" fillId="0" borderId="11" xfId="0" applyBorder="1"/>
    <xf numFmtId="166" fontId="0" fillId="0" borderId="7" xfId="0" applyNumberFormat="1" applyBorder="1"/>
    <xf numFmtId="4" fontId="0" fillId="0" borderId="8" xfId="0" applyNumberFormat="1" applyBorder="1"/>
    <xf numFmtId="4" fontId="0" fillId="0" borderId="11" xfId="0" applyNumberFormat="1" applyBorder="1"/>
    <xf numFmtId="167" fontId="0" fillId="0" borderId="0" xfId="0" applyNumberFormat="1" applyAlignment="1">
      <alignment horizontal="left" indent="4"/>
    </xf>
    <xf numFmtId="167" fontId="2" fillId="0" borderId="0" xfId="0" applyNumberFormat="1" applyFont="1" applyAlignment="1">
      <alignment horizontal="left" indent="4"/>
    </xf>
    <xf numFmtId="4" fontId="0" fillId="0" borderId="0" xfId="0" applyNumberFormat="1"/>
    <xf numFmtId="4" fontId="5" fillId="0" borderId="8" xfId="0" applyNumberFormat="1" applyFont="1" applyBorder="1"/>
    <xf numFmtId="0" fontId="5" fillId="0" borderId="0" xfId="0" applyFont="1"/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">
    <cellStyle name="Normal" xfId="0" builtinId="0"/>
    <cellStyle name="ParaBirimi" xfId="2" builtinId="4"/>
    <cellStyle name="Virgül" xfId="1" builtinId="3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956C-20E3-43BE-A739-AD1707A49146}">
  <dimension ref="A1:P20"/>
  <sheetViews>
    <sheetView workbookViewId="0">
      <selection activeCell="E9" sqref="E9"/>
    </sheetView>
  </sheetViews>
  <sheetFormatPr defaultRowHeight="14.4" x14ac:dyDescent="0.3"/>
  <cols>
    <col min="1" max="1" width="27.109375" bestFit="1" customWidth="1"/>
    <col min="2" max="2" width="10.109375" bestFit="1" customWidth="1"/>
    <col min="3" max="3" width="14.33203125" customWidth="1"/>
    <col min="4" max="4" width="20.88671875" bestFit="1" customWidth="1"/>
    <col min="8" max="8" width="12.109375" bestFit="1" customWidth="1"/>
  </cols>
  <sheetData>
    <row r="1" spans="1:16" x14ac:dyDescent="0.3">
      <c r="C1" t="s">
        <v>89</v>
      </c>
    </row>
    <row r="2" spans="1:16" x14ac:dyDescent="0.3">
      <c r="A2" t="s">
        <v>75</v>
      </c>
      <c r="B2" s="15">
        <v>51.5</v>
      </c>
      <c r="C2" t="s">
        <v>76</v>
      </c>
      <c r="D2" t="s">
        <v>83</v>
      </c>
      <c r="E2" s="17">
        <f>Aylık_Alış_Miktarı*Üretim_Kaybı_Oranı</f>
        <v>1.1000000000000001</v>
      </c>
      <c r="F2" t="s">
        <v>77</v>
      </c>
    </row>
    <row r="3" spans="1:16" x14ac:dyDescent="0.3">
      <c r="A3" t="s">
        <v>82</v>
      </c>
      <c r="B3" s="15">
        <v>55</v>
      </c>
      <c r="C3" t="s">
        <v>77</v>
      </c>
      <c r="D3" t="s">
        <v>97</v>
      </c>
      <c r="E3" s="17">
        <f>Aylık_Alış_Miktarı*Alt_kalite_Malzeme_Oranı</f>
        <v>0</v>
      </c>
      <c r="F3" t="s">
        <v>77</v>
      </c>
      <c r="J3">
        <v>2.5</v>
      </c>
      <c r="K3">
        <v>30</v>
      </c>
      <c r="L3">
        <f>J3*K3</f>
        <v>75</v>
      </c>
    </row>
    <row r="4" spans="1:16" x14ac:dyDescent="0.3">
      <c r="A4" t="s">
        <v>99</v>
      </c>
      <c r="B4" s="15">
        <v>20</v>
      </c>
      <c r="C4" t="s">
        <v>76</v>
      </c>
      <c r="D4" t="s">
        <v>86</v>
      </c>
      <c r="E4" s="17">
        <f>Aylık_Alış_Miktarı-Üretim_Kaybı-Alt_kalite_Malzeme</f>
        <v>53.9</v>
      </c>
      <c r="F4" t="s">
        <v>77</v>
      </c>
      <c r="J4" t="s">
        <v>111</v>
      </c>
      <c r="K4" t="s">
        <v>116</v>
      </c>
      <c r="L4">
        <v>55</v>
      </c>
    </row>
    <row r="5" spans="1:16" x14ac:dyDescent="0.3">
      <c r="A5" t="s">
        <v>84</v>
      </c>
      <c r="B5" s="16">
        <v>0.02</v>
      </c>
      <c r="J5">
        <v>5.5</v>
      </c>
      <c r="K5" t="s">
        <v>113</v>
      </c>
      <c r="L5">
        <v>5.5</v>
      </c>
    </row>
    <row r="6" spans="1:16" x14ac:dyDescent="0.3">
      <c r="A6" t="s">
        <v>85</v>
      </c>
      <c r="B6" s="16">
        <v>0</v>
      </c>
      <c r="D6" t="s">
        <v>105</v>
      </c>
      <c r="E6" s="17"/>
      <c r="J6" t="s">
        <v>112</v>
      </c>
      <c r="K6" t="s">
        <v>117</v>
      </c>
      <c r="L6">
        <v>3</v>
      </c>
    </row>
    <row r="7" spans="1:16" x14ac:dyDescent="0.3">
      <c r="A7" t="s">
        <v>95</v>
      </c>
      <c r="B7" s="15">
        <v>33</v>
      </c>
      <c r="C7" t="s">
        <v>88</v>
      </c>
      <c r="D7" t="s">
        <v>109</v>
      </c>
      <c r="E7" s="17"/>
      <c r="J7">
        <v>18</v>
      </c>
      <c r="K7" t="s">
        <v>114</v>
      </c>
      <c r="L7">
        <v>18</v>
      </c>
    </row>
    <row r="8" spans="1:16" x14ac:dyDescent="0.3">
      <c r="A8" t="s">
        <v>96</v>
      </c>
      <c r="B8" s="15">
        <v>33</v>
      </c>
      <c r="C8" t="s">
        <v>88</v>
      </c>
      <c r="D8" t="s">
        <v>106</v>
      </c>
      <c r="E8" s="15">
        <v>2</v>
      </c>
      <c r="F8" t="s">
        <v>110</v>
      </c>
      <c r="J8">
        <v>4</v>
      </c>
      <c r="K8" t="s">
        <v>115</v>
      </c>
      <c r="L8">
        <v>4</v>
      </c>
    </row>
    <row r="9" spans="1:16" x14ac:dyDescent="0.3">
      <c r="A9" t="s">
        <v>90</v>
      </c>
      <c r="B9" s="15">
        <v>26</v>
      </c>
      <c r="C9" t="s">
        <v>91</v>
      </c>
      <c r="D9" t="s">
        <v>107</v>
      </c>
      <c r="E9" s="15">
        <v>1</v>
      </c>
      <c r="L9">
        <f>SUM(L3:L8)</f>
        <v>160.5</v>
      </c>
    </row>
    <row r="10" spans="1:16" x14ac:dyDescent="0.3">
      <c r="A10" t="s">
        <v>92</v>
      </c>
      <c r="B10" s="15">
        <v>10</v>
      </c>
      <c r="C10" t="s">
        <v>93</v>
      </c>
      <c r="D10" t="s">
        <v>101</v>
      </c>
      <c r="E10" s="34">
        <v>70</v>
      </c>
      <c r="F10" t="s">
        <v>108</v>
      </c>
    </row>
    <row r="11" spans="1:16" x14ac:dyDescent="0.3">
      <c r="A11" t="s">
        <v>94</v>
      </c>
      <c r="B11" s="15">
        <v>2.5</v>
      </c>
      <c r="C11" t="s">
        <v>93</v>
      </c>
    </row>
    <row r="12" spans="1:16" x14ac:dyDescent="0.3">
      <c r="A12" t="s">
        <v>78</v>
      </c>
      <c r="B12" s="34">
        <v>40214.03</v>
      </c>
      <c r="C12" t="s">
        <v>76</v>
      </c>
    </row>
    <row r="13" spans="1:16" x14ac:dyDescent="0.3">
      <c r="A13" t="s">
        <v>79</v>
      </c>
      <c r="B13" s="15">
        <v>4.07</v>
      </c>
      <c r="C13" t="s">
        <v>102</v>
      </c>
    </row>
    <row r="14" spans="1:16" x14ac:dyDescent="0.3">
      <c r="A14" t="s">
        <v>80</v>
      </c>
      <c r="B14" s="15">
        <v>200</v>
      </c>
      <c r="C14" t="s">
        <v>76</v>
      </c>
      <c r="N14">
        <f>1520-62</f>
        <v>1458</v>
      </c>
      <c r="O14">
        <v>35</v>
      </c>
      <c r="P14">
        <f>N14+O14</f>
        <v>1493</v>
      </c>
    </row>
    <row r="15" spans="1:16" x14ac:dyDescent="0.3">
      <c r="A15" t="s">
        <v>81</v>
      </c>
      <c r="B15" s="15"/>
      <c r="C15" t="s">
        <v>76</v>
      </c>
    </row>
    <row r="16" spans="1:16" x14ac:dyDescent="0.3">
      <c r="H16" s="35">
        <f>160*12*26*4.07</f>
        <v>203174.40000000002</v>
      </c>
    </row>
    <row r="18" spans="1:16" x14ac:dyDescent="0.3">
      <c r="P18">
        <v>496</v>
      </c>
    </row>
    <row r="19" spans="1:16" x14ac:dyDescent="0.3">
      <c r="K19">
        <f>40/496</f>
        <v>8.0645161290322578E-2</v>
      </c>
      <c r="P19">
        <v>996</v>
      </c>
    </row>
    <row r="20" spans="1:16" x14ac:dyDescent="0.3">
      <c r="A20" t="s">
        <v>129</v>
      </c>
      <c r="H20">
        <v>120</v>
      </c>
      <c r="P20">
        <f>SUM(P18:P19)</f>
        <v>1492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zoomScale="70" zoomScaleNormal="70" workbookViewId="0">
      <selection activeCell="G36" sqref="G36"/>
    </sheetView>
  </sheetViews>
  <sheetFormatPr defaultRowHeight="14.4" x14ac:dyDescent="0.3"/>
  <cols>
    <col min="2" max="2" width="26.33203125" bestFit="1" customWidth="1"/>
    <col min="3" max="3" width="20.88671875" customWidth="1"/>
  </cols>
  <sheetData>
    <row r="1" spans="1:3" x14ac:dyDescent="0.3">
      <c r="C1" s="1" t="s">
        <v>0</v>
      </c>
    </row>
    <row r="2" spans="1:3" x14ac:dyDescent="0.3">
      <c r="A2" s="2" t="s">
        <v>1</v>
      </c>
      <c r="B2" s="2" t="s">
        <v>2</v>
      </c>
      <c r="C2" s="3"/>
    </row>
    <row r="3" spans="1:3" x14ac:dyDescent="0.3">
      <c r="A3" s="2" t="s">
        <v>5</v>
      </c>
      <c r="B3" s="2" t="s">
        <v>6</v>
      </c>
      <c r="C3" s="3"/>
    </row>
    <row r="4" spans="1:3" x14ac:dyDescent="0.3">
      <c r="A4" s="2" t="s">
        <v>7</v>
      </c>
      <c r="B4" s="2" t="s">
        <v>8</v>
      </c>
      <c r="C4" s="3"/>
    </row>
    <row r="5" spans="1:3" x14ac:dyDescent="0.3">
      <c r="A5" s="2" t="s">
        <v>9</v>
      </c>
      <c r="B5" s="2" t="s">
        <v>10</v>
      </c>
      <c r="C5" s="3">
        <f>C2+C3+C4</f>
        <v>0</v>
      </c>
    </row>
    <row r="6" spans="1:3" x14ac:dyDescent="0.3">
      <c r="A6" s="2" t="s">
        <v>11</v>
      </c>
      <c r="B6" s="2" t="s">
        <v>12</v>
      </c>
      <c r="C6" s="3">
        <f t="shared" ref="C6:C7" si="0">D6+E6</f>
        <v>0</v>
      </c>
    </row>
    <row r="7" spans="1:3" x14ac:dyDescent="0.3">
      <c r="A7" s="2" t="s">
        <v>13</v>
      </c>
      <c r="B7" s="2" t="s">
        <v>14</v>
      </c>
      <c r="C7" s="3">
        <f t="shared" si="0"/>
        <v>0</v>
      </c>
    </row>
    <row r="8" spans="1:3" x14ac:dyDescent="0.3">
      <c r="A8" s="4" t="s">
        <v>15</v>
      </c>
      <c r="B8" s="4" t="s">
        <v>16</v>
      </c>
      <c r="C8" s="5">
        <f>C5-C6-C7</f>
        <v>0</v>
      </c>
    </row>
    <row r="9" spans="1:3" x14ac:dyDescent="0.3">
      <c r="A9" s="6" t="s">
        <v>17</v>
      </c>
      <c r="B9" s="7" t="s">
        <v>18</v>
      </c>
      <c r="C9" s="8"/>
    </row>
    <row r="10" spans="1:3" x14ac:dyDescent="0.3">
      <c r="A10" s="6" t="s">
        <v>19</v>
      </c>
      <c r="B10" s="7" t="s">
        <v>20</v>
      </c>
      <c r="C10" s="8"/>
    </row>
    <row r="11" spans="1:3" x14ac:dyDescent="0.3">
      <c r="A11" s="4" t="s">
        <v>21</v>
      </c>
      <c r="B11" s="4" t="s">
        <v>22</v>
      </c>
      <c r="C11" s="5">
        <f>C9+C10</f>
        <v>0</v>
      </c>
    </row>
    <row r="12" spans="1:3" x14ac:dyDescent="0.3">
      <c r="A12" s="2" t="s">
        <v>23</v>
      </c>
      <c r="B12" s="2" t="s">
        <v>24</v>
      </c>
      <c r="C12" s="3"/>
    </row>
    <row r="13" spans="1:3" x14ac:dyDescent="0.3">
      <c r="A13" s="9" t="s">
        <v>25</v>
      </c>
      <c r="B13" s="9" t="s">
        <v>26</v>
      </c>
      <c r="C13" s="10">
        <f>C8-C11-C12</f>
        <v>0</v>
      </c>
    </row>
    <row r="14" spans="1:3" x14ac:dyDescent="0.3">
      <c r="A14" s="6" t="s">
        <v>27</v>
      </c>
      <c r="B14" s="7" t="s">
        <v>28</v>
      </c>
      <c r="C14" s="8"/>
    </row>
    <row r="15" spans="1:3" x14ac:dyDescent="0.3">
      <c r="A15" s="6" t="s">
        <v>29</v>
      </c>
      <c r="B15" s="7" t="s">
        <v>30</v>
      </c>
      <c r="C15" s="8"/>
    </row>
    <row r="16" spans="1:3" x14ac:dyDescent="0.3">
      <c r="A16" s="6" t="s">
        <v>31</v>
      </c>
      <c r="B16" s="7" t="s">
        <v>32</v>
      </c>
      <c r="C16" s="8"/>
    </row>
    <row r="17" spans="1:25" x14ac:dyDescent="0.3">
      <c r="A17" s="4" t="s">
        <v>33</v>
      </c>
      <c r="B17" s="4" t="s">
        <v>34</v>
      </c>
      <c r="C17" s="5">
        <f>C14+C15+C16</f>
        <v>0</v>
      </c>
    </row>
    <row r="18" spans="1:25" x14ac:dyDescent="0.3">
      <c r="A18" s="6" t="s">
        <v>35</v>
      </c>
      <c r="B18" s="7" t="s">
        <v>36</v>
      </c>
      <c r="C18" s="8"/>
    </row>
    <row r="19" spans="1:25" x14ac:dyDescent="0.3">
      <c r="A19" s="6" t="s">
        <v>37</v>
      </c>
      <c r="B19" s="7" t="s">
        <v>38</v>
      </c>
      <c r="C19" s="8"/>
    </row>
    <row r="20" spans="1:25" x14ac:dyDescent="0.3">
      <c r="A20" s="6" t="s">
        <v>39</v>
      </c>
      <c r="B20" s="7" t="s">
        <v>40</v>
      </c>
      <c r="C20" s="8"/>
    </row>
    <row r="21" spans="1:25" x14ac:dyDescent="0.3">
      <c r="A21" s="6" t="s">
        <v>41</v>
      </c>
      <c r="B21" s="7" t="s">
        <v>42</v>
      </c>
      <c r="C21" s="8"/>
    </row>
    <row r="22" spans="1:25" x14ac:dyDescent="0.3">
      <c r="A22" s="4" t="s">
        <v>43</v>
      </c>
      <c r="B22" s="4" t="s">
        <v>44</v>
      </c>
      <c r="C22" s="5">
        <f>C18+C19+C20+C21</f>
        <v>0</v>
      </c>
    </row>
    <row r="23" spans="1:25" x14ac:dyDescent="0.3">
      <c r="A23" s="4" t="s">
        <v>45</v>
      </c>
      <c r="B23" s="4" t="s">
        <v>46</v>
      </c>
      <c r="C23" s="5"/>
    </row>
    <row r="24" spans="1:25" x14ac:dyDescent="0.3">
      <c r="A24" s="6" t="s">
        <v>47</v>
      </c>
      <c r="B24" s="7" t="s">
        <v>48</v>
      </c>
      <c r="C24" s="8"/>
    </row>
    <row r="25" spans="1:25" x14ac:dyDescent="0.3">
      <c r="A25" s="6" t="s">
        <v>49</v>
      </c>
      <c r="B25" s="7" t="s">
        <v>50</v>
      </c>
      <c r="C25" s="8"/>
    </row>
    <row r="26" spans="1:25" x14ac:dyDescent="0.3">
      <c r="A26" s="11" t="s">
        <v>51</v>
      </c>
      <c r="B26" s="11" t="s">
        <v>52</v>
      </c>
      <c r="C26" s="12"/>
    </row>
    <row r="27" spans="1:25" x14ac:dyDescent="0.3">
      <c r="A27" s="6" t="s">
        <v>53</v>
      </c>
      <c r="B27" s="7" t="s">
        <v>54</v>
      </c>
      <c r="C27" s="8"/>
      <c r="W27">
        <v>130</v>
      </c>
      <c r="X27">
        <v>300</v>
      </c>
      <c r="Y27">
        <f>W27/X27</f>
        <v>0.43333333333333335</v>
      </c>
    </row>
    <row r="28" spans="1:25" x14ac:dyDescent="0.3">
      <c r="A28" s="6" t="s">
        <v>55</v>
      </c>
      <c r="B28" s="7" t="s">
        <v>56</v>
      </c>
      <c r="C28" s="8"/>
      <c r="N28">
        <v>496</v>
      </c>
      <c r="O28">
        <v>436</v>
      </c>
      <c r="P28">
        <f>N28-O28</f>
        <v>60</v>
      </c>
      <c r="R28">
        <v>8.8800000000000008</v>
      </c>
    </row>
    <row r="29" spans="1:25" x14ac:dyDescent="0.3">
      <c r="A29" s="6" t="s">
        <v>57</v>
      </c>
      <c r="B29" s="7" t="s">
        <v>58</v>
      </c>
      <c r="C29" s="8"/>
      <c r="O29">
        <f>436/496</f>
        <v>0.87903225806451613</v>
      </c>
    </row>
    <row r="30" spans="1:25" x14ac:dyDescent="0.3">
      <c r="A30" s="6" t="s">
        <v>59</v>
      </c>
      <c r="B30" s="7" t="s">
        <v>60</v>
      </c>
      <c r="C30" s="8"/>
    </row>
    <row r="31" spans="1:25" x14ac:dyDescent="0.3">
      <c r="A31" s="6" t="s">
        <v>61</v>
      </c>
      <c r="B31" s="7" t="s">
        <v>62</v>
      </c>
      <c r="C31" s="8"/>
    </row>
    <row r="32" spans="1:25" x14ac:dyDescent="0.3">
      <c r="A32" s="6" t="s">
        <v>63</v>
      </c>
      <c r="B32" s="7" t="s">
        <v>38</v>
      </c>
      <c r="C32" s="8"/>
    </row>
    <row r="33" spans="1:19" x14ac:dyDescent="0.3">
      <c r="A33" s="6" t="s">
        <v>64</v>
      </c>
      <c r="B33" s="7" t="s">
        <v>65</v>
      </c>
      <c r="C33" s="8"/>
      <c r="S33">
        <f>P28*0.57</f>
        <v>34.199999999999996</v>
      </c>
    </row>
    <row r="34" spans="1:19" x14ac:dyDescent="0.3">
      <c r="A34" s="2" t="s">
        <v>3</v>
      </c>
      <c r="B34" s="2" t="s">
        <v>4</v>
      </c>
      <c r="C34" s="3"/>
    </row>
    <row r="35" spans="1:19" x14ac:dyDescent="0.3">
      <c r="A35" s="6" t="s">
        <v>66</v>
      </c>
      <c r="B35" s="7" t="s">
        <v>67</v>
      </c>
      <c r="C35" s="8"/>
    </row>
    <row r="36" spans="1:19" x14ac:dyDescent="0.3">
      <c r="A36" s="6" t="s">
        <v>68</v>
      </c>
      <c r="B36" s="7" t="s">
        <v>69</v>
      </c>
      <c r="C36" s="8"/>
    </row>
    <row r="37" spans="1:19" x14ac:dyDescent="0.3">
      <c r="A37" s="4" t="s">
        <v>70</v>
      </c>
      <c r="B37" s="4" t="s">
        <v>71</v>
      </c>
      <c r="C37" s="5">
        <f>SUM(C24:C36)</f>
        <v>0</v>
      </c>
    </row>
    <row r="38" spans="1:19" x14ac:dyDescent="0.3">
      <c r="A38" s="13"/>
      <c r="B38" s="13" t="s">
        <v>72</v>
      </c>
      <c r="C38" s="14">
        <f>C37+C23+C22+C17</f>
        <v>0</v>
      </c>
    </row>
    <row r="39" spans="1:19" x14ac:dyDescent="0.3">
      <c r="A39" s="4" t="s">
        <v>73</v>
      </c>
      <c r="B39" s="4" t="s">
        <v>74</v>
      </c>
      <c r="C39" s="5">
        <f>C13-C38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1155-2077-4222-A173-186A03B65ED0}">
  <dimension ref="A1:F43"/>
  <sheetViews>
    <sheetView tabSelected="1" zoomScale="55" zoomScaleNormal="55" workbookViewId="0">
      <selection activeCell="A2" sqref="A2:D3"/>
    </sheetView>
  </sheetViews>
  <sheetFormatPr defaultRowHeight="14.4" outlineLevelRow="2" x14ac:dyDescent="0.3"/>
  <cols>
    <col min="2" max="2" width="26.33203125" bestFit="1" customWidth="1"/>
    <col min="3" max="3" width="24.109375" style="32" customWidth="1"/>
    <col min="4" max="4" width="9.44140625" style="24" bestFit="1" customWidth="1"/>
    <col min="6" max="6" width="27.109375" bestFit="1" customWidth="1"/>
    <col min="7" max="7" width="10.109375" bestFit="1" customWidth="1"/>
    <col min="8" max="8" width="6.6640625" bestFit="1" customWidth="1"/>
  </cols>
  <sheetData>
    <row r="1" spans="1:6" outlineLevel="1" x14ac:dyDescent="0.3">
      <c r="A1" s="2" t="s">
        <v>1</v>
      </c>
      <c r="B1" s="2" t="s">
        <v>2</v>
      </c>
      <c r="C1" s="25"/>
      <c r="D1" s="18">
        <f>D2+D3</f>
        <v>1778.7</v>
      </c>
    </row>
    <row r="2" spans="1:6" ht="16.95" customHeight="1" outlineLevel="1" x14ac:dyDescent="0.3">
      <c r="A2" s="2"/>
      <c r="B2" s="2"/>
      <c r="C2" s="25" t="s">
        <v>98</v>
      </c>
      <c r="D2" s="18">
        <f>A_Kalite_Satış_Fiyatı*A_kalite_Satış_Miktarı</f>
        <v>1778.7</v>
      </c>
    </row>
    <row r="3" spans="1:6" ht="16.95" customHeight="1" outlineLevel="1" x14ac:dyDescent="0.3">
      <c r="A3" s="2"/>
      <c r="B3" s="2"/>
      <c r="C3" s="25" t="s">
        <v>87</v>
      </c>
      <c r="D3" s="18">
        <f>B_Kalite_Satış_Fiyatı*B_kalite_Malzeme</f>
        <v>0</v>
      </c>
    </row>
    <row r="4" spans="1:6" outlineLevel="1" x14ac:dyDescent="0.3">
      <c r="A4" s="2" t="s">
        <v>5</v>
      </c>
      <c r="B4" s="2" t="s">
        <v>6</v>
      </c>
      <c r="C4" s="25"/>
      <c r="D4" s="18">
        <v>0</v>
      </c>
    </row>
    <row r="5" spans="1:6" outlineLevel="1" x14ac:dyDescent="0.3">
      <c r="A5" s="2" t="s">
        <v>7</v>
      </c>
      <c r="B5" s="2" t="s">
        <v>8</v>
      </c>
      <c r="C5" s="25"/>
      <c r="D5" s="18">
        <v>0</v>
      </c>
    </row>
    <row r="6" spans="1:6" outlineLevel="1" x14ac:dyDescent="0.3">
      <c r="A6" s="2" t="s">
        <v>9</v>
      </c>
      <c r="B6" s="2" t="s">
        <v>10</v>
      </c>
      <c r="C6" s="25"/>
      <c r="D6" s="18">
        <f>D1+D4+D5</f>
        <v>1778.7</v>
      </c>
    </row>
    <row r="7" spans="1:6" outlineLevel="1" x14ac:dyDescent="0.3">
      <c r="A7" s="2" t="s">
        <v>11</v>
      </c>
      <c r="B7" s="2" t="s">
        <v>12</v>
      </c>
      <c r="C7" s="25"/>
      <c r="D7" s="18">
        <v>0</v>
      </c>
    </row>
    <row r="8" spans="1:6" outlineLevel="1" x14ac:dyDescent="0.3">
      <c r="A8" s="2" t="s">
        <v>13</v>
      </c>
      <c r="B8" s="2" t="s">
        <v>14</v>
      </c>
      <c r="C8" s="25"/>
      <c r="D8" s="18">
        <v>0</v>
      </c>
    </row>
    <row r="9" spans="1:6" x14ac:dyDescent="0.3">
      <c r="A9" s="4" t="s">
        <v>15</v>
      </c>
      <c r="B9" s="4" t="s">
        <v>16</v>
      </c>
      <c r="C9" s="26"/>
      <c r="D9" s="19">
        <f>D6-D7-D8</f>
        <v>1778.7</v>
      </c>
    </row>
    <row r="10" spans="1:6" outlineLevel="1" x14ac:dyDescent="0.3">
      <c r="A10" s="6" t="s">
        <v>17</v>
      </c>
      <c r="B10" s="7" t="s">
        <v>18</v>
      </c>
      <c r="C10" s="27"/>
      <c r="D10" s="20">
        <v>0</v>
      </c>
    </row>
    <row r="11" spans="1:6" outlineLevel="1" x14ac:dyDescent="0.3">
      <c r="A11" s="6" t="s">
        <v>19</v>
      </c>
      <c r="B11" s="7" t="s">
        <v>20</v>
      </c>
      <c r="C11" s="27"/>
      <c r="D11" s="20">
        <f>Aylık_Alış_Miktarı*Alış_Fiyatı</f>
        <v>1100</v>
      </c>
    </row>
    <row r="12" spans="1:6" x14ac:dyDescent="0.3">
      <c r="A12" s="4" t="s">
        <v>21</v>
      </c>
      <c r="B12" s="4" t="s">
        <v>22</v>
      </c>
      <c r="C12" s="26"/>
      <c r="D12" s="19">
        <f>D10+D11</f>
        <v>1100</v>
      </c>
    </row>
    <row r="13" spans="1:6" outlineLevel="1" x14ac:dyDescent="0.3">
      <c r="A13" s="2" t="s">
        <v>23</v>
      </c>
      <c r="B13" s="2" t="s">
        <v>24</v>
      </c>
      <c r="C13" s="25"/>
      <c r="D13" s="18">
        <v>0</v>
      </c>
    </row>
    <row r="14" spans="1:6" x14ac:dyDescent="0.3">
      <c r="A14" s="9" t="s">
        <v>25</v>
      </c>
      <c r="B14" s="9" t="s">
        <v>26</v>
      </c>
      <c r="C14" s="28"/>
      <c r="D14" s="21">
        <f>D9-D12</f>
        <v>678.7</v>
      </c>
    </row>
    <row r="15" spans="1:6" outlineLevel="1" x14ac:dyDescent="0.3">
      <c r="A15" s="6" t="s">
        <v>27</v>
      </c>
      <c r="B15" s="7" t="s">
        <v>28</v>
      </c>
      <c r="C15" s="27"/>
      <c r="D15" s="33">
        <v>100</v>
      </c>
      <c r="E15">
        <v>55</v>
      </c>
      <c r="F15">
        <f>D15/E15</f>
        <v>1.8181818181818181</v>
      </c>
    </row>
    <row r="16" spans="1:6" outlineLevel="1" x14ac:dyDescent="0.3">
      <c r="A16" s="6" t="s">
        <v>29</v>
      </c>
      <c r="B16" s="7" t="s">
        <v>30</v>
      </c>
      <c r="C16" s="27"/>
      <c r="D16" s="20">
        <v>4</v>
      </c>
    </row>
    <row r="17" spans="1:4" outlineLevel="2" x14ac:dyDescent="0.3">
      <c r="A17" s="6"/>
      <c r="B17" s="7"/>
      <c r="C17" s="29" t="s">
        <v>100</v>
      </c>
      <c r="D17" s="20">
        <v>4</v>
      </c>
    </row>
    <row r="18" spans="1:4" outlineLevel="1" x14ac:dyDescent="0.3">
      <c r="A18" s="6" t="s">
        <v>31</v>
      </c>
      <c r="B18" s="7" t="s">
        <v>32</v>
      </c>
      <c r="C18" s="27"/>
      <c r="D18" s="20">
        <v>1</v>
      </c>
    </row>
    <row r="19" spans="1:4" x14ac:dyDescent="0.3">
      <c r="A19" s="4" t="s">
        <v>33</v>
      </c>
      <c r="B19" s="4" t="s">
        <v>34</v>
      </c>
      <c r="C19" s="26"/>
      <c r="D19" s="19">
        <f>D15+D16+D18</f>
        <v>105</v>
      </c>
    </row>
    <row r="20" spans="1:4" outlineLevel="1" x14ac:dyDescent="0.3">
      <c r="A20" s="6" t="s">
        <v>35</v>
      </c>
      <c r="B20" s="7" t="s">
        <v>36</v>
      </c>
      <c r="C20" s="27"/>
      <c r="D20" s="20">
        <f>D21+D22</f>
        <v>150</v>
      </c>
    </row>
    <row r="21" spans="1:4" outlineLevel="1" x14ac:dyDescent="0.3">
      <c r="A21" s="6"/>
      <c r="B21" s="7" t="s">
        <v>103</v>
      </c>
      <c r="C21" s="27"/>
      <c r="D21" s="20">
        <v>70</v>
      </c>
    </row>
    <row r="22" spans="1:4" outlineLevel="1" x14ac:dyDescent="0.3">
      <c r="A22" s="6"/>
      <c r="B22" s="7" t="s">
        <v>104</v>
      </c>
      <c r="C22" s="27"/>
      <c r="D22" s="20">
        <v>80</v>
      </c>
    </row>
    <row r="23" spans="1:4" outlineLevel="1" x14ac:dyDescent="0.3">
      <c r="A23" s="6" t="s">
        <v>37</v>
      </c>
      <c r="B23" s="7" t="s">
        <v>38</v>
      </c>
      <c r="C23" s="27"/>
      <c r="D23" s="20">
        <v>15</v>
      </c>
    </row>
    <row r="24" spans="1:4" outlineLevel="1" x14ac:dyDescent="0.3">
      <c r="A24" s="6" t="s">
        <v>39</v>
      </c>
      <c r="B24" s="7" t="s">
        <v>40</v>
      </c>
      <c r="C24" s="27"/>
      <c r="D24" s="20">
        <v>10</v>
      </c>
    </row>
    <row r="25" spans="1:4" outlineLevel="1" x14ac:dyDescent="0.3">
      <c r="A25" s="6" t="s">
        <v>41</v>
      </c>
      <c r="B25" s="7" t="s">
        <v>42</v>
      </c>
      <c r="C25" s="27"/>
      <c r="D25" s="20">
        <v>10</v>
      </c>
    </row>
    <row r="26" spans="1:4" x14ac:dyDescent="0.3">
      <c r="A26" s="4" t="s">
        <v>43</v>
      </c>
      <c r="B26" s="4" t="s">
        <v>44</v>
      </c>
      <c r="C26" s="26"/>
      <c r="D26" s="19">
        <f>D20+D23+D24+D25</f>
        <v>185</v>
      </c>
    </row>
    <row r="27" spans="1:4" x14ac:dyDescent="0.3">
      <c r="A27" s="4" t="s">
        <v>45</v>
      </c>
      <c r="B27" s="4" t="s">
        <v>46</v>
      </c>
      <c r="C27" s="26"/>
      <c r="D27" s="19">
        <v>10</v>
      </c>
    </row>
    <row r="28" spans="1:4" outlineLevel="1" x14ac:dyDescent="0.3">
      <c r="A28" s="6" t="s">
        <v>47</v>
      </c>
      <c r="B28" s="7" t="s">
        <v>48</v>
      </c>
      <c r="C28" s="27"/>
      <c r="D28" s="20">
        <v>0</v>
      </c>
    </row>
    <row r="29" spans="1:4" outlineLevel="1" x14ac:dyDescent="0.3">
      <c r="A29" s="6" t="s">
        <v>49</v>
      </c>
      <c r="B29" s="7" t="s">
        <v>50</v>
      </c>
      <c r="C29" s="27"/>
      <c r="D29" s="20">
        <v>8</v>
      </c>
    </row>
    <row r="30" spans="1:4" outlineLevel="1" x14ac:dyDescent="0.3">
      <c r="A30" s="11" t="s">
        <v>51</v>
      </c>
      <c r="B30" s="11" t="s">
        <v>52</v>
      </c>
      <c r="C30" s="30"/>
      <c r="D30" s="22">
        <v>40</v>
      </c>
    </row>
    <row r="31" spans="1:4" outlineLevel="1" x14ac:dyDescent="0.3">
      <c r="A31" s="6" t="s">
        <v>53</v>
      </c>
      <c r="B31" s="7" t="s">
        <v>54</v>
      </c>
      <c r="C31" s="27"/>
      <c r="D31" s="20">
        <v>90</v>
      </c>
    </row>
    <row r="32" spans="1:4" outlineLevel="1" x14ac:dyDescent="0.3">
      <c r="A32" s="6" t="s">
        <v>55</v>
      </c>
      <c r="B32" s="7" t="s">
        <v>56</v>
      </c>
      <c r="C32" s="27"/>
      <c r="D32" s="20">
        <v>8</v>
      </c>
    </row>
    <row r="33" spans="1:4" outlineLevel="1" x14ac:dyDescent="0.3">
      <c r="A33" s="6" t="s">
        <v>57</v>
      </c>
      <c r="B33" s="7" t="s">
        <v>58</v>
      </c>
      <c r="C33" s="27"/>
      <c r="D33" s="20">
        <v>5</v>
      </c>
    </row>
    <row r="34" spans="1:4" outlineLevel="1" x14ac:dyDescent="0.3">
      <c r="A34" s="6" t="s">
        <v>59</v>
      </c>
      <c r="B34" s="7" t="s">
        <v>60</v>
      </c>
      <c r="C34" s="27"/>
      <c r="D34" s="20">
        <v>1</v>
      </c>
    </row>
    <row r="35" spans="1:4" outlineLevel="1" x14ac:dyDescent="0.3">
      <c r="A35" s="6" t="s">
        <v>61</v>
      </c>
      <c r="B35" s="7" t="s">
        <v>62</v>
      </c>
      <c r="C35" s="27"/>
      <c r="D35" s="20">
        <v>0</v>
      </c>
    </row>
    <row r="36" spans="1:4" outlineLevel="1" x14ac:dyDescent="0.3">
      <c r="A36" s="6" t="s">
        <v>63</v>
      </c>
      <c r="B36" s="7" t="s">
        <v>38</v>
      </c>
      <c r="C36" s="27"/>
      <c r="D36" s="20">
        <v>0</v>
      </c>
    </row>
    <row r="37" spans="1:4" outlineLevel="1" x14ac:dyDescent="0.3">
      <c r="A37" s="6" t="s">
        <v>64</v>
      </c>
      <c r="B37" s="7" t="s">
        <v>65</v>
      </c>
      <c r="C37" s="27"/>
      <c r="D37" s="20">
        <v>3</v>
      </c>
    </row>
    <row r="38" spans="1:4" outlineLevel="1" x14ac:dyDescent="0.3">
      <c r="A38" s="2" t="s">
        <v>3</v>
      </c>
      <c r="B38" s="2" t="s">
        <v>4</v>
      </c>
      <c r="C38" s="25"/>
      <c r="D38" s="18">
        <v>1</v>
      </c>
    </row>
    <row r="39" spans="1:4" outlineLevel="1" x14ac:dyDescent="0.3">
      <c r="A39" s="6" t="s">
        <v>66</v>
      </c>
      <c r="B39" s="7" t="s">
        <v>67</v>
      </c>
      <c r="C39" s="27"/>
      <c r="D39" s="20">
        <v>5</v>
      </c>
    </row>
    <row r="40" spans="1:4" outlineLevel="1" x14ac:dyDescent="0.3">
      <c r="A40" s="6" t="s">
        <v>68</v>
      </c>
      <c r="B40" s="7" t="s">
        <v>69</v>
      </c>
      <c r="C40" s="27"/>
      <c r="D40" s="20">
        <v>10</v>
      </c>
    </row>
    <row r="41" spans="1:4" x14ac:dyDescent="0.3">
      <c r="A41" s="4" t="s">
        <v>70</v>
      </c>
      <c r="B41" s="4" t="s">
        <v>71</v>
      </c>
      <c r="C41" s="26"/>
      <c r="D41" s="19">
        <f>SUM(D28:D40)</f>
        <v>171</v>
      </c>
    </row>
    <row r="42" spans="1:4" x14ac:dyDescent="0.3">
      <c r="A42" s="13"/>
      <c r="B42" s="13" t="s">
        <v>72</v>
      </c>
      <c r="C42" s="31"/>
      <c r="D42" s="23">
        <f>D41+D27+D26+D19</f>
        <v>471</v>
      </c>
    </row>
    <row r="43" spans="1:4" x14ac:dyDescent="0.3">
      <c r="A43" s="4" t="s">
        <v>73</v>
      </c>
      <c r="B43" s="4" t="s">
        <v>74</v>
      </c>
      <c r="C43" s="26"/>
      <c r="D43" s="19">
        <f>D14-D42</f>
        <v>207.70000000000005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D40F-A1CA-46EB-B09E-C562B8C7161E}">
  <dimension ref="A1"/>
  <sheetViews>
    <sheetView workbookViewId="0">
      <selection activeCell="G9" sqref="G9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9863-F10E-40B6-AC65-19C1CB70BF2A}">
  <dimension ref="A1:S37"/>
  <sheetViews>
    <sheetView topLeftCell="A15" zoomScaleNormal="100" workbookViewId="0">
      <selection activeCell="E8" sqref="E8"/>
    </sheetView>
  </sheetViews>
  <sheetFormatPr defaultRowHeight="14.4" x14ac:dyDescent="0.3"/>
  <cols>
    <col min="3" max="3" width="14" bestFit="1" customWidth="1"/>
    <col min="4" max="4" width="18.88671875" bestFit="1" customWidth="1"/>
    <col min="5" max="5" width="15.109375" customWidth="1"/>
    <col min="6" max="6" width="15.109375" bestFit="1" customWidth="1"/>
    <col min="7" max="7" width="11.88671875" bestFit="1" customWidth="1"/>
    <col min="8" max="8" width="10" bestFit="1" customWidth="1"/>
    <col min="9" max="9" width="14.44140625" bestFit="1" customWidth="1"/>
    <col min="10" max="10" width="19.6640625" bestFit="1" customWidth="1"/>
    <col min="13" max="13" width="17.5546875" bestFit="1" customWidth="1"/>
    <col min="14" max="14" width="12.88671875" bestFit="1" customWidth="1"/>
  </cols>
  <sheetData>
    <row r="1" spans="1:19" ht="15" thickBot="1" x14ac:dyDescent="0.35">
      <c r="F1" s="60" t="s">
        <v>120</v>
      </c>
      <c r="G1" s="61"/>
    </row>
    <row r="2" spans="1:19" x14ac:dyDescent="0.3">
      <c r="A2">
        <v>18690</v>
      </c>
      <c r="B2">
        <f>35.5*1.02</f>
        <v>36.21</v>
      </c>
      <c r="C2" s="36">
        <f>A2*B2</f>
        <v>676764.9</v>
      </c>
      <c r="F2" s="41">
        <v>1</v>
      </c>
      <c r="G2" s="42">
        <v>793</v>
      </c>
      <c r="J2">
        <v>2785</v>
      </c>
      <c r="K2">
        <f>J2-C13</f>
        <v>2647.8449999999998</v>
      </c>
      <c r="M2">
        <v>1218</v>
      </c>
    </row>
    <row r="3" spans="1:19" x14ac:dyDescent="0.3">
      <c r="A3">
        <v>18040</v>
      </c>
      <c r="B3">
        <f t="shared" ref="B3:B5" si="0">35.5*1.02</f>
        <v>36.21</v>
      </c>
      <c r="C3" s="36">
        <f t="shared" ref="C3:C5" si="1">A3*B3</f>
        <v>653228.4</v>
      </c>
      <c r="F3" s="41">
        <v>2</v>
      </c>
      <c r="G3" s="42">
        <v>400</v>
      </c>
      <c r="M3">
        <v>691</v>
      </c>
    </row>
    <row r="4" spans="1:19" x14ac:dyDescent="0.3">
      <c r="A4">
        <v>22320</v>
      </c>
      <c r="B4">
        <f t="shared" si="0"/>
        <v>36.21</v>
      </c>
      <c r="C4" s="36">
        <f t="shared" si="1"/>
        <v>808207.20000000007</v>
      </c>
      <c r="F4" s="41">
        <v>3</v>
      </c>
      <c r="G4" s="42">
        <v>102</v>
      </c>
      <c r="M4">
        <v>32263</v>
      </c>
    </row>
    <row r="5" spans="1:19" x14ac:dyDescent="0.3">
      <c r="A5">
        <v>14185</v>
      </c>
      <c r="B5">
        <f t="shared" si="0"/>
        <v>36.21</v>
      </c>
      <c r="C5" s="36">
        <f t="shared" si="1"/>
        <v>513638.85000000003</v>
      </c>
      <c r="F5" s="41">
        <v>4</v>
      </c>
      <c r="G5" s="42">
        <v>244</v>
      </c>
      <c r="M5">
        <v>1218</v>
      </c>
    </row>
    <row r="6" spans="1:19" x14ac:dyDescent="0.3">
      <c r="A6">
        <f>SUM(A2:A5)</f>
        <v>73235</v>
      </c>
      <c r="C6" s="36">
        <f>SUM(C2:C5)</f>
        <v>2651839.35</v>
      </c>
      <c r="F6" s="41">
        <v>5</v>
      </c>
      <c r="G6" s="42">
        <v>250</v>
      </c>
      <c r="M6">
        <v>1848</v>
      </c>
    </row>
    <row r="7" spans="1:19" x14ac:dyDescent="0.3">
      <c r="F7" s="41">
        <v>6</v>
      </c>
      <c r="G7" s="42">
        <v>296</v>
      </c>
      <c r="M7">
        <v>84842</v>
      </c>
    </row>
    <row r="8" spans="1:19" x14ac:dyDescent="0.3">
      <c r="F8" s="41">
        <v>7</v>
      </c>
      <c r="G8" s="42">
        <v>300</v>
      </c>
      <c r="M8">
        <v>147424</v>
      </c>
    </row>
    <row r="9" spans="1:19" x14ac:dyDescent="0.3">
      <c r="F9" s="41">
        <v>8</v>
      </c>
      <c r="G9" s="42">
        <v>400</v>
      </c>
      <c r="M9">
        <v>336</v>
      </c>
    </row>
    <row r="10" spans="1:19" ht="15" thickBot="1" x14ac:dyDescent="0.35">
      <c r="F10" s="44"/>
      <c r="G10" s="48">
        <f>SUM(G2:G9)*1000</f>
        <v>2785000</v>
      </c>
      <c r="M10">
        <v>214</v>
      </c>
    </row>
    <row r="11" spans="1:19" x14ac:dyDescent="0.3">
      <c r="A11">
        <v>5.5</v>
      </c>
      <c r="B11">
        <f>35.5*1.02</f>
        <v>36.21</v>
      </c>
      <c r="C11">
        <f>A11*B11</f>
        <v>199.155</v>
      </c>
      <c r="I11" s="36">
        <f>C6-M14</f>
        <v>2366983.35</v>
      </c>
      <c r="M11">
        <v>9913</v>
      </c>
    </row>
    <row r="12" spans="1:19" x14ac:dyDescent="0.3">
      <c r="C12">
        <v>62</v>
      </c>
      <c r="M12">
        <v>1480</v>
      </c>
    </row>
    <row r="13" spans="1:19" x14ac:dyDescent="0.3">
      <c r="C13">
        <f>C11-C12</f>
        <v>137.155</v>
      </c>
      <c r="D13">
        <f>C13*0.88*1000</f>
        <v>120696.4</v>
      </c>
      <c r="F13">
        <v>135</v>
      </c>
      <c r="G13">
        <f>F13-D13</f>
        <v>-120561.4</v>
      </c>
      <c r="M13">
        <v>3409</v>
      </c>
      <c r="Q13">
        <v>60</v>
      </c>
      <c r="R13">
        <f>Q13*J20</f>
        <v>22.784810126582279</v>
      </c>
      <c r="S13">
        <f>Q13-R13</f>
        <v>37.215189873417721</v>
      </c>
    </row>
    <row r="14" spans="1:19" x14ac:dyDescent="0.3">
      <c r="C14" s="36">
        <f>C6+C13</f>
        <v>2651976.5049999999</v>
      </c>
      <c r="M14" s="37">
        <f>SUM(M2:M13)</f>
        <v>284856</v>
      </c>
    </row>
    <row r="15" spans="1:19" x14ac:dyDescent="0.3">
      <c r="C15" s="36">
        <f>C14-M14</f>
        <v>2367120.5049999999</v>
      </c>
      <c r="D15" s="36">
        <f>C15-D13</f>
        <v>2246424.105</v>
      </c>
      <c r="E15" s="36"/>
    </row>
    <row r="16" spans="1:19" ht="15" thickBot="1" x14ac:dyDescent="0.35"/>
    <row r="17" spans="1:16" ht="15" thickBot="1" x14ac:dyDescent="0.35">
      <c r="A17" s="57" t="s">
        <v>118</v>
      </c>
      <c r="B17" s="58"/>
      <c r="C17" s="59"/>
      <c r="F17" s="57" t="s">
        <v>119</v>
      </c>
      <c r="G17" s="59"/>
      <c r="O17">
        <v>153</v>
      </c>
    </row>
    <row r="18" spans="1:16" x14ac:dyDescent="0.3">
      <c r="A18" s="38">
        <v>18690</v>
      </c>
      <c r="B18" s="39">
        <v>35</v>
      </c>
      <c r="C18" s="40">
        <f>A18*B18</f>
        <v>654150</v>
      </c>
      <c r="F18" s="49">
        <v>46108</v>
      </c>
      <c r="G18" s="50">
        <v>44000</v>
      </c>
      <c r="H18">
        <v>44000</v>
      </c>
      <c r="J18">
        <v>120</v>
      </c>
      <c r="O18">
        <v>44</v>
      </c>
    </row>
    <row r="19" spans="1:16" x14ac:dyDescent="0.3">
      <c r="A19" s="41">
        <v>18040</v>
      </c>
      <c r="B19">
        <v>35</v>
      </c>
      <c r="C19" s="42">
        <f t="shared" ref="C19:C21" si="2">A19*B19</f>
        <v>631400</v>
      </c>
      <c r="F19" s="49">
        <v>46108</v>
      </c>
      <c r="G19" s="50">
        <v>14000</v>
      </c>
      <c r="J19">
        <v>316</v>
      </c>
      <c r="O19">
        <v>16</v>
      </c>
    </row>
    <row r="20" spans="1:16" x14ac:dyDescent="0.3">
      <c r="A20" s="41">
        <v>22320</v>
      </c>
      <c r="B20">
        <v>35</v>
      </c>
      <c r="C20" s="42">
        <f t="shared" si="2"/>
        <v>781200</v>
      </c>
      <c r="F20" s="49">
        <v>46108</v>
      </c>
      <c r="G20" s="50">
        <v>100000</v>
      </c>
      <c r="J20">
        <f>J18/J19</f>
        <v>0.379746835443038</v>
      </c>
      <c r="O20">
        <f>A23*B23</f>
        <v>36617.5</v>
      </c>
    </row>
    <row r="21" spans="1:16" x14ac:dyDescent="0.3">
      <c r="A21" s="41">
        <v>14185</v>
      </c>
      <c r="B21">
        <v>35</v>
      </c>
      <c r="C21" s="42">
        <f t="shared" si="2"/>
        <v>496475</v>
      </c>
      <c r="F21" s="49">
        <v>46108</v>
      </c>
      <c r="G21" s="50">
        <v>200000</v>
      </c>
      <c r="O21">
        <v>49</v>
      </c>
      <c r="P21">
        <v>16</v>
      </c>
    </row>
    <row r="22" spans="1:16" x14ac:dyDescent="0.3">
      <c r="A22" s="41"/>
      <c r="C22" s="43">
        <f>SUM(C18:C21)</f>
        <v>2563225</v>
      </c>
      <c r="F22" s="49">
        <v>46097</v>
      </c>
      <c r="G22" s="55">
        <v>70000</v>
      </c>
      <c r="P22">
        <v>44</v>
      </c>
    </row>
    <row r="23" spans="1:16" x14ac:dyDescent="0.3">
      <c r="A23" s="41">
        <v>73235</v>
      </c>
      <c r="B23">
        <v>0.5</v>
      </c>
      <c r="C23" s="42">
        <f>A23*B23</f>
        <v>36617.5</v>
      </c>
      <c r="F23" s="49">
        <v>46097</v>
      </c>
      <c r="G23" s="50">
        <v>100000</v>
      </c>
      <c r="P23">
        <f>P21/P22</f>
        <v>0.36363636363636365</v>
      </c>
    </row>
    <row r="24" spans="1:16" ht="15" thickBot="1" x14ac:dyDescent="0.35">
      <c r="A24" s="44"/>
      <c r="B24" s="45"/>
      <c r="C24" s="46">
        <f>C22+C23</f>
        <v>2599842.5</v>
      </c>
      <c r="F24" s="49">
        <v>46097</v>
      </c>
      <c r="G24" s="50">
        <v>100000</v>
      </c>
    </row>
    <row r="25" spans="1:16" x14ac:dyDescent="0.3">
      <c r="F25" s="49">
        <v>46097</v>
      </c>
      <c r="G25" s="50">
        <v>600000</v>
      </c>
    </row>
    <row r="26" spans="1:16" x14ac:dyDescent="0.3">
      <c r="F26" s="49">
        <v>46076</v>
      </c>
      <c r="G26" s="55">
        <v>553550</v>
      </c>
      <c r="H26" s="56">
        <v>153550</v>
      </c>
    </row>
    <row r="27" spans="1:16" x14ac:dyDescent="0.3">
      <c r="F27" s="49">
        <v>46076</v>
      </c>
      <c r="G27" s="50">
        <v>32000</v>
      </c>
    </row>
    <row r="28" spans="1:16" x14ac:dyDescent="0.3">
      <c r="F28" s="49">
        <v>46076</v>
      </c>
      <c r="G28" s="50">
        <v>100000</v>
      </c>
      <c r="K28" t="s">
        <v>124</v>
      </c>
      <c r="L28" t="s">
        <v>125</v>
      </c>
      <c r="M28" t="s">
        <v>126</v>
      </c>
    </row>
    <row r="29" spans="1:16" x14ac:dyDescent="0.3">
      <c r="F29" s="49">
        <v>46076</v>
      </c>
      <c r="G29" s="50">
        <v>100000</v>
      </c>
      <c r="J29" t="s">
        <v>121</v>
      </c>
      <c r="K29">
        <v>1295</v>
      </c>
      <c r="L29">
        <v>1132</v>
      </c>
      <c r="M29">
        <f>K29-L29</f>
        <v>163</v>
      </c>
      <c r="N29" s="52">
        <f>M29/K29</f>
        <v>0.12586872586872586</v>
      </c>
    </row>
    <row r="30" spans="1:16" x14ac:dyDescent="0.3">
      <c r="F30" s="49">
        <v>46076</v>
      </c>
      <c r="G30" s="50">
        <v>100000</v>
      </c>
      <c r="J30" t="s">
        <v>122</v>
      </c>
      <c r="K30">
        <v>996</v>
      </c>
      <c r="L30">
        <v>873</v>
      </c>
      <c r="M30">
        <f t="shared" ref="M30" si="3">K30-L30</f>
        <v>123</v>
      </c>
      <c r="N30" s="52">
        <f t="shared" ref="N30" si="4">M30/K30</f>
        <v>0.12349397590361445</v>
      </c>
    </row>
    <row r="31" spans="1:16" x14ac:dyDescent="0.3">
      <c r="C31">
        <f>1285550-153550</f>
        <v>1132000</v>
      </c>
      <c r="F31" s="49">
        <v>46076</v>
      </c>
      <c r="G31" s="50">
        <v>100000</v>
      </c>
      <c r="J31" t="s">
        <v>123</v>
      </c>
      <c r="K31">
        <v>496</v>
      </c>
      <c r="L31">
        <v>436</v>
      </c>
      <c r="M31">
        <v>60</v>
      </c>
      <c r="N31" s="52">
        <f>M31/K31</f>
        <v>0.12096774193548387</v>
      </c>
    </row>
    <row r="32" spans="1:16" x14ac:dyDescent="0.3">
      <c r="F32" s="49">
        <v>46076</v>
      </c>
      <c r="G32" s="50">
        <v>100000</v>
      </c>
      <c r="K32" s="37">
        <f t="shared" ref="K32:L32" si="5">SUM(K29:K31)</f>
        <v>2787</v>
      </c>
      <c r="L32" s="37">
        <f t="shared" si="5"/>
        <v>2441</v>
      </c>
      <c r="M32" s="37">
        <f>SUM(M29:M31)</f>
        <v>346</v>
      </c>
      <c r="N32" s="53">
        <f>M32/K32</f>
        <v>0.12414782920703266</v>
      </c>
    </row>
    <row r="33" spans="4:14" x14ac:dyDescent="0.3">
      <c r="F33" s="49">
        <v>46076</v>
      </c>
      <c r="G33" s="50">
        <v>100000</v>
      </c>
      <c r="J33" t="s">
        <v>127</v>
      </c>
      <c r="L33">
        <v>-120</v>
      </c>
      <c r="M33">
        <v>-16</v>
      </c>
      <c r="N33" s="52"/>
    </row>
    <row r="34" spans="4:14" x14ac:dyDescent="0.3">
      <c r="F34" s="49">
        <v>46076</v>
      </c>
      <c r="G34" s="50">
        <v>100000</v>
      </c>
      <c r="H34" s="54">
        <f>G36-H26-H18</f>
        <v>132450</v>
      </c>
      <c r="M34">
        <f>SUM(M32:M33)</f>
        <v>330</v>
      </c>
    </row>
    <row r="35" spans="4:14" ht="15" thickBot="1" x14ac:dyDescent="0.35">
      <c r="D35" s="47"/>
      <c r="E35" s="47"/>
      <c r="F35" s="44"/>
      <c r="G35" s="51">
        <f>SUM(G18:G34)</f>
        <v>2513550</v>
      </c>
      <c r="J35" t="s">
        <v>128</v>
      </c>
      <c r="L35">
        <f>L32+L33</f>
        <v>2321</v>
      </c>
      <c r="N35" s="52"/>
    </row>
    <row r="36" spans="4:14" x14ac:dyDescent="0.3">
      <c r="D36" s="47"/>
      <c r="E36" s="47"/>
      <c r="G36" s="50">
        <v>330000</v>
      </c>
    </row>
    <row r="37" spans="4:14" x14ac:dyDescent="0.3">
      <c r="G37" s="54">
        <f>G35-G36</f>
        <v>2183550</v>
      </c>
    </row>
  </sheetData>
  <mergeCells count="3">
    <mergeCell ref="A17:C17"/>
    <mergeCell ref="F17:G17"/>
    <mergeCell ref="F1:G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DE93-965E-40A3-8D48-2EBB32B08EE7}">
  <dimension ref="A1"/>
  <sheetViews>
    <sheetView topLeftCell="A31" workbookViewId="0">
      <selection activeCell="F10" sqref="F10"/>
    </sheetView>
  </sheetViews>
  <sheetFormatPr defaultRowHeight="14.4" x14ac:dyDescent="0.3"/>
  <cols>
    <col min="2" max="2" width="13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10</vt:i4>
      </vt:variant>
    </vt:vector>
  </HeadingPairs>
  <TitlesOfParts>
    <vt:vector size="16" baseType="lpstr">
      <vt:lpstr>Değerler</vt:lpstr>
      <vt:lpstr>Sheet1</vt:lpstr>
      <vt:lpstr>p&amp;l</vt:lpstr>
      <vt:lpstr>Sayfa1</vt:lpstr>
      <vt:lpstr>Sayfa3</vt:lpstr>
      <vt:lpstr>Sayfa4</vt:lpstr>
      <vt:lpstr>A_Kalite_Satış_Fiyatı</vt:lpstr>
      <vt:lpstr>A_kalite_Satış_Miktarı</vt:lpstr>
      <vt:lpstr>Alış_Fiyatı</vt:lpstr>
      <vt:lpstr>Alt_kalite_Malzeme</vt:lpstr>
      <vt:lpstr>Alt_kalite_Malzeme_Oranı</vt:lpstr>
      <vt:lpstr>Aylık_Alış_Miktarı</vt:lpstr>
      <vt:lpstr>B_kalite_Malzeme</vt:lpstr>
      <vt:lpstr>B_Kalite_Satış_Fiyatı</vt:lpstr>
      <vt:lpstr>Üretim_Kaybı</vt:lpstr>
      <vt:lpstr>Üretim_Kaybı_Oranı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Y.Başar Ünal</dc:creator>
  <cp:lastModifiedBy>Yıldırım Başar ÜNAL</cp:lastModifiedBy>
  <dcterms:created xsi:type="dcterms:W3CDTF">2015-06-05T18:17:20Z</dcterms:created>
  <dcterms:modified xsi:type="dcterms:W3CDTF">2026-05-26T10:34:06Z</dcterms:modified>
</cp:coreProperties>
</file>